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A1\Documents\GitHub\Ordinal_Patterns_R\Data\Convex_combination\"/>
    </mc:Choice>
  </mc:AlternateContent>
  <xr:revisionPtr revIDLastSave="0" documentId="13_ncr:1_{2EF8E951-1909-4E4D-9634-6D59DF4FE11C}" xr6:coauthVersionLast="47" xr6:coauthVersionMax="47" xr10:uidLastSave="{00000000-0000-0000-0000-000000000000}"/>
  <bookViews>
    <workbookView xWindow="-108" yWindow="-108" windowWidth="23256" windowHeight="12456" activeTab="1" xr2:uid="{09DFCC9B-CA39-4290-B82F-732B57ED36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2" i="1"/>
</calcChain>
</file>

<file path=xl/sharedStrings.xml><?xml version="1.0" encoding="utf-8"?>
<sst xmlns="http://schemas.openxmlformats.org/spreadsheetml/2006/main" count="207" uniqueCount="98">
  <si>
    <t>ARMA(2,2)</t>
  </si>
  <si>
    <t>AR(2)</t>
  </si>
  <si>
    <t>MA(2)</t>
  </si>
  <si>
    <t>Logistic</t>
  </si>
  <si>
    <t>Sine</t>
  </si>
  <si>
    <t>ARMA+Logistic (w=0.1)</t>
  </si>
  <si>
    <t>ARMA+Logistic</t>
  </si>
  <si>
    <t>ARMA+Logistic (w=0.2)</t>
  </si>
  <si>
    <t>ARMA+Logistic (w=0.3)</t>
  </si>
  <si>
    <t>ARMA+Logistic (w=0.4)</t>
  </si>
  <si>
    <t>ARMA+Logistic (w=0.5)</t>
  </si>
  <si>
    <t>ARMA+Logistic (w=0.6)</t>
  </si>
  <si>
    <t>ARMA+Logistic (w=0.7)</t>
  </si>
  <si>
    <t>ARMA+Logistic (w=0.8)</t>
  </si>
  <si>
    <t>ARMA+Logistic (w=0.9)</t>
  </si>
  <si>
    <t>ARMA+Sine (w=0.1)</t>
  </si>
  <si>
    <t>ARMA+Sine</t>
  </si>
  <si>
    <t>ARMA+Sine (w=0.2)</t>
  </si>
  <si>
    <t>ARMA+Sine (w=0.3)</t>
  </si>
  <si>
    <t>ARMA+Sine (w=0.4)</t>
  </si>
  <si>
    <t>ARMA+Sine (w=0.5)</t>
  </si>
  <si>
    <t>ARMA+Sine (w=0.6)</t>
  </si>
  <si>
    <t>ARMA+Sine (w=0.7)</t>
  </si>
  <si>
    <t>ARMA+Sine (w=0.8)</t>
  </si>
  <si>
    <t>ARMA+Sine (w=0.9)</t>
  </si>
  <si>
    <t>AR2+Logistic (w=0.1)</t>
  </si>
  <si>
    <t>AR2+Logistic</t>
  </si>
  <si>
    <t>AR2+Logistic (w=0.2)</t>
  </si>
  <si>
    <t>AR2+Logistic (w=0.3)</t>
  </si>
  <si>
    <t>AR2+Logistic (w=0.4)</t>
  </si>
  <si>
    <t>AR2+Logistic (w=0.5)</t>
  </si>
  <si>
    <t>AR2+Logistic (w=0.6)</t>
  </si>
  <si>
    <t>AR2+Logistic (w=0.7)</t>
  </si>
  <si>
    <t>AR2+Logistic (w=0.8)</t>
  </si>
  <si>
    <t>AR2+Logistic (w=0.9)</t>
  </si>
  <si>
    <t>AR2+Sine (w=0.1)</t>
  </si>
  <si>
    <t>AR2+Sine</t>
  </si>
  <si>
    <t>AR2+Sine (w=0.2)</t>
  </si>
  <si>
    <t>AR2+Sine (w=0.3)</t>
  </si>
  <si>
    <t>AR2+Sine (w=0.4)</t>
  </si>
  <si>
    <t>AR2+Sine (w=0.5)</t>
  </si>
  <si>
    <t>AR2+Sine (w=0.6)</t>
  </si>
  <si>
    <t>AR2+Sine (w=0.7)</t>
  </si>
  <si>
    <t>AR2+Sine (w=0.8)</t>
  </si>
  <si>
    <t>AR2+Sine (w=0.9)</t>
  </si>
  <si>
    <t>MA2+Logistic (w=0.1)</t>
  </si>
  <si>
    <t>MA2+Logistic</t>
  </si>
  <si>
    <t>MA2+Logistic (w=0.2)</t>
  </si>
  <si>
    <t>MA2+Logistic (w=0.3)</t>
  </si>
  <si>
    <t>MA2+Logistic (w=0.4)</t>
  </si>
  <si>
    <t>MA2+Logistic (w=0.5)</t>
  </si>
  <si>
    <t>MA2+Logistic (w=0.6)</t>
  </si>
  <si>
    <t>MA2+Logistic (w=0.7)</t>
  </si>
  <si>
    <t>MA2+Logistic (w=0.8)</t>
  </si>
  <si>
    <t>MA2+Logistic (w=0.9)</t>
  </si>
  <si>
    <t>MA2+Sine (w=0.1)</t>
  </si>
  <si>
    <t>MA2+Sine</t>
  </si>
  <si>
    <t>MA2+Sine (w=0.2)</t>
  </si>
  <si>
    <t>MA2+Sine (w=0.3)</t>
  </si>
  <si>
    <t>MA2+Sine (w=0.4)</t>
  </si>
  <si>
    <t>MA2+Sine (w=0.5)</t>
  </si>
  <si>
    <t>MA2+Sine (w=0.6)</t>
  </si>
  <si>
    <t>MA2+Sine (w=0.7)</t>
  </si>
  <si>
    <t>MA2+Sine (w=0.8)</t>
  </si>
  <si>
    <t>MA2+Sine (w=0.9)</t>
  </si>
  <si>
    <t>Model</t>
  </si>
  <si>
    <t>Class</t>
  </si>
  <si>
    <t>H</t>
  </si>
  <si>
    <t>C</t>
  </si>
  <si>
    <t># ── ARMA + Logistic ───────────────────────────────────────────────────────</t>
  </si>
  <si>
    <t xml:space="preserve">  </t>
  </si>
  <si>
    <t xml:space="preserve">  # ── ARMA + Sine ───────────────────────────────────────────────────────────</t>
  </si>
  <si>
    <t xml:space="preserve">  "ARMA+Sine(w=0.1)" = 0.1*x_arma + 0.9*x_sin,</t>
  </si>
  <si>
    <t xml:space="preserve">  "ARMA+Sine(w=0.3)" = 0.3*x_arma + 0.7*x_sin,</t>
  </si>
  <si>
    <t xml:space="preserve">  "ARMA+Sine(w=0.9)" = 0.9*x_arma + 0.1*x_sin,</t>
  </si>
  <si>
    <t xml:space="preserve">  # ── AR2 + Logistic ────────────────────────────────────────────────────────</t>
  </si>
  <si>
    <t xml:space="preserve">  # ── AR2 + Sine ────────────────────────────────────────────────────────────</t>
  </si>
  <si>
    <t xml:space="preserve">  # ── MA2 + Logistic ────────────────────────────────────────────────────────</t>
  </si>
  <si>
    <t xml:space="preserve">  "MA2+Logistic(w=0.1)" = 0.1*x_ma2 + 0.9*x_log,</t>
  </si>
  <si>
    <t xml:space="preserve">  "MA2+Logistic(w=0.2)" = 0.2*x_ma2 + 0.8*x_log,</t>
  </si>
  <si>
    <t xml:space="preserve">  "MA2+Logistic(w=0.5)" = 0.5*x_ma2 + 0.5*x_log,</t>
  </si>
  <si>
    <t xml:space="preserve">  "MA2+Logistic(w=0.7)" = 0.7*x_ma2 + 0.3*x_log,</t>
  </si>
  <si>
    <t xml:space="preserve">  # ── MA2 + Sine ────────────────────────────────────────────────────────────</t>
  </si>
  <si>
    <t xml:space="preserve">  "MA2+Sine(w=0.4)" = 0.4*x_ma2 + 0.6*x_sin,</t>
  </si>
  <si>
    <t xml:space="preserve"> " MA2+Sine(w=0.8)" = 0.8*x_ma2 + 0.2*x_sin</t>
  </si>
  <si>
    <t>)</t>
  </si>
  <si>
    <t xml:space="preserve"> "ARMA+Logistic(w=0.2)" = 0.2*x_arma + 0.8*x_log,</t>
  </si>
  <si>
    <t xml:space="preserve">  "ARMA+Logistic(w=0.7)" = 0.7*x_arma + 0.3*x_log,</t>
  </si>
  <si>
    <t xml:space="preserve">   "ARMA+Logistic(w=0.9)" = 0.9*x_arma + 0.1*x_log,</t>
  </si>
  <si>
    <t xml:space="preserve">  "ARMA+Sine(w=0.2)" = 0.2*x_arma + 0.8*x_sin,</t>
  </si>
  <si>
    <t xml:space="preserve"> "AR2+Logistic(w=0.4)" = 0.4*x_ar2 + 0.6*x_log,</t>
  </si>
  <si>
    <t xml:space="preserve">   "AR2+Logistic(w=0.7)" = 0.7*x_ar2 + 0.3*x_log,</t>
  </si>
  <si>
    <t xml:space="preserve"> "AR2+Logistic(w=0.1)" = 0.1*x_ar2 + 0.9*x_log,</t>
  </si>
  <si>
    <t>"ARMA+Logistic(w=0.3)" = 0.3*x_arma + 0.7*x_log,</t>
  </si>
  <si>
    <t xml:space="preserve">  "ARMA+Sine(w=0.6)" = 0.6*x_arma + 0.4*x_sin,</t>
  </si>
  <si>
    <t xml:space="preserve">  "AR2+Sine(w=0.9)" = 0.9*x_ar2 + 0.1*x_sin,</t>
  </si>
  <si>
    <t xml:space="preserve"> "AR2+Sine(w=0.8)" = 0.8*x_ar2 + 0.2*x_sin,</t>
  </si>
  <si>
    <t xml:space="preserve"> "MA2+Sine(w=0.6)" = 0.6*x_ma2 + 0.4*x_sin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</si>
</sst>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8AF7-7A04-4751-843D-EC5E85E07D16}">
  <dimension ref="A1:F60"/>
  <sheetViews>
    <sheetView workbookViewId="0">
      <selection activeCell="H1" sqref="H1:K25"/>
    </sheetView>
  </sheetViews>
  <sheetFormatPr defaultRowHeight="14.4" x14ac:dyDescent="0.3"/>
  <cols>
    <col min="1" max="1" width="24.44140625" style="1" customWidth="1"/>
    <col min="2" max="2" width="19.44140625" style="1" customWidth="1"/>
    <col min="3" max="3" width="17" style="1" customWidth="1"/>
    <col min="4" max="4" width="17.88671875" style="1" customWidth="1"/>
    <col min="8" max="8" width="20.77734375" customWidth="1"/>
    <col min="10" max="10" width="18.88671875" customWidth="1"/>
    <col min="11" max="11" width="17" customWidth="1"/>
  </cols>
  <sheetData>
    <row r="1" spans="1:6" x14ac:dyDescent="0.3">
      <c r="A1" s="2" t="s">
        <v>65</v>
      </c>
      <c r="B1" s="2" t="s">
        <v>66</v>
      </c>
      <c r="C1" s="2" t="s">
        <v>67</v>
      </c>
      <c r="D1" s="2" t="s">
        <v>68</v>
      </c>
    </row>
    <row r="2" spans="1:6" ht="16.8" x14ac:dyDescent="0.3">
      <c r="A2" s="6" t="s">
        <v>4</v>
      </c>
      <c r="B2" s="6" t="s">
        <v>4</v>
      </c>
      <c r="C2" s="6">
        <v>0.39135379999999997</v>
      </c>
      <c r="D2" s="6">
        <v>0.28425598800000001</v>
      </c>
      <c r="E2">
        <f>ROUND(C2,3)</f>
        <v>0.39100000000000001</v>
      </c>
      <c r="F2">
        <f>ROUND(D2,3)</f>
        <v>0.28399999999999997</v>
      </c>
    </row>
    <row r="3" spans="1:6" ht="16.8" x14ac:dyDescent="0.3">
      <c r="A3" s="4" t="s">
        <v>35</v>
      </c>
      <c r="B3" s="4" t="s">
        <v>36</v>
      </c>
      <c r="C3" s="4">
        <v>0.4432256</v>
      </c>
      <c r="D3" s="4">
        <v>0.27822992600000002</v>
      </c>
      <c r="E3">
        <f t="shared" ref="E3:E60" si="0">ROUND(C3,3)</f>
        <v>0.443</v>
      </c>
      <c r="F3">
        <f t="shared" ref="F3:F60" si="1">ROUND(D3,3)</f>
        <v>0.27800000000000002</v>
      </c>
    </row>
    <row r="4" spans="1:6" ht="16.8" x14ac:dyDescent="0.3">
      <c r="A4" s="4" t="s">
        <v>15</v>
      </c>
      <c r="B4" s="4" t="s">
        <v>16</v>
      </c>
      <c r="C4" s="4">
        <v>0.4438452</v>
      </c>
      <c r="D4" s="4">
        <v>0.27847607699999999</v>
      </c>
      <c r="E4">
        <f t="shared" si="0"/>
        <v>0.44400000000000001</v>
      </c>
      <c r="F4">
        <f t="shared" si="1"/>
        <v>0.27800000000000002</v>
      </c>
    </row>
    <row r="5" spans="1:6" ht="16.8" x14ac:dyDescent="0.3">
      <c r="A5" s="4" t="s">
        <v>55</v>
      </c>
      <c r="B5" s="4" t="s">
        <v>56</v>
      </c>
      <c r="C5" s="4">
        <v>0.44987240000000001</v>
      </c>
      <c r="D5" s="4">
        <v>0.27570617400000003</v>
      </c>
      <c r="E5">
        <f t="shared" si="0"/>
        <v>0.45</v>
      </c>
      <c r="F5">
        <f t="shared" si="1"/>
        <v>0.27600000000000002</v>
      </c>
    </row>
    <row r="6" spans="1:6" ht="16.8" x14ac:dyDescent="0.3">
      <c r="A6" s="5" t="s">
        <v>17</v>
      </c>
      <c r="B6" s="5" t="s">
        <v>16</v>
      </c>
      <c r="C6" s="5">
        <v>0.53905820000000004</v>
      </c>
      <c r="D6" s="5">
        <v>0.27049531500000001</v>
      </c>
      <c r="E6">
        <f t="shared" si="0"/>
        <v>0.53900000000000003</v>
      </c>
      <c r="F6">
        <f t="shared" si="1"/>
        <v>0.27</v>
      </c>
    </row>
    <row r="7" spans="1:6" ht="16.8" x14ac:dyDescent="0.3">
      <c r="A7" s="5" t="s">
        <v>57</v>
      </c>
      <c r="B7" s="5" t="s">
        <v>56</v>
      </c>
      <c r="C7" s="5">
        <v>0.54729969999999994</v>
      </c>
      <c r="D7" s="5">
        <v>0.26152460100000002</v>
      </c>
      <c r="E7">
        <f t="shared" si="0"/>
        <v>0.54700000000000004</v>
      </c>
      <c r="F7">
        <f t="shared" si="1"/>
        <v>0.26200000000000001</v>
      </c>
    </row>
    <row r="8" spans="1:6" ht="16.8" x14ac:dyDescent="0.3">
      <c r="A8" s="5" t="s">
        <v>37</v>
      </c>
      <c r="B8" s="5" t="s">
        <v>36</v>
      </c>
      <c r="C8" s="5">
        <v>0.57021739999999999</v>
      </c>
      <c r="D8" s="5">
        <v>0.26722775700000001</v>
      </c>
      <c r="E8">
        <f t="shared" si="0"/>
        <v>0.56999999999999995</v>
      </c>
      <c r="F8">
        <f t="shared" si="1"/>
        <v>0.26700000000000002</v>
      </c>
    </row>
    <row r="9" spans="1:6" ht="16.8" x14ac:dyDescent="0.3">
      <c r="A9" s="6" t="s">
        <v>3</v>
      </c>
      <c r="B9" s="6" t="s">
        <v>3</v>
      </c>
      <c r="C9" s="6">
        <v>0.59416060000000004</v>
      </c>
      <c r="D9" s="6">
        <v>0.34771446499999997</v>
      </c>
      <c r="E9">
        <f t="shared" si="0"/>
        <v>0.59399999999999997</v>
      </c>
      <c r="F9">
        <f t="shared" si="1"/>
        <v>0.34799999999999998</v>
      </c>
    </row>
    <row r="10" spans="1:6" ht="16.8" x14ac:dyDescent="0.3">
      <c r="A10" s="7" t="s">
        <v>25</v>
      </c>
      <c r="B10" s="7" t="s">
        <v>26</v>
      </c>
      <c r="C10" s="7">
        <v>0.63743229999999995</v>
      </c>
      <c r="D10" s="7">
        <v>0.32528002700000003</v>
      </c>
      <c r="E10">
        <f t="shared" si="0"/>
        <v>0.63700000000000001</v>
      </c>
      <c r="F10">
        <f t="shared" si="1"/>
        <v>0.32500000000000001</v>
      </c>
    </row>
    <row r="11" spans="1:6" ht="16.8" x14ac:dyDescent="0.3">
      <c r="A11" s="7" t="s">
        <v>5</v>
      </c>
      <c r="B11" s="7" t="s">
        <v>6</v>
      </c>
      <c r="C11" s="7">
        <v>0.63957419999999998</v>
      </c>
      <c r="D11" s="7">
        <v>0.321672083</v>
      </c>
      <c r="E11">
        <f t="shared" si="0"/>
        <v>0.64</v>
      </c>
      <c r="F11">
        <f t="shared" si="1"/>
        <v>0.32200000000000001</v>
      </c>
    </row>
    <row r="12" spans="1:6" ht="16.8" x14ac:dyDescent="0.3">
      <c r="A12" s="8" t="s">
        <v>18</v>
      </c>
      <c r="B12" s="8" t="s">
        <v>16</v>
      </c>
      <c r="C12" s="8">
        <v>0.65154469999999998</v>
      </c>
      <c r="D12" s="8">
        <v>0.247793385</v>
      </c>
      <c r="E12">
        <f t="shared" si="0"/>
        <v>0.65200000000000002</v>
      </c>
      <c r="F12">
        <f t="shared" si="1"/>
        <v>0.248</v>
      </c>
    </row>
    <row r="13" spans="1:6" ht="16.8" x14ac:dyDescent="0.3">
      <c r="A13" s="3" t="s">
        <v>45</v>
      </c>
      <c r="B13" s="3" t="s">
        <v>46</v>
      </c>
      <c r="C13" s="3">
        <v>0.65668709999999997</v>
      </c>
      <c r="D13" s="3">
        <v>0.31158972600000001</v>
      </c>
      <c r="E13">
        <f t="shared" si="0"/>
        <v>0.65700000000000003</v>
      </c>
      <c r="F13">
        <f t="shared" si="1"/>
        <v>0.312</v>
      </c>
    </row>
    <row r="14" spans="1:6" ht="16.8" x14ac:dyDescent="0.3">
      <c r="A14" s="8" t="s">
        <v>58</v>
      </c>
      <c r="B14" s="8" t="s">
        <v>56</v>
      </c>
      <c r="C14" s="8">
        <v>0.66695629999999995</v>
      </c>
      <c r="D14" s="8">
        <v>0.23805527600000001</v>
      </c>
      <c r="E14">
        <f t="shared" si="0"/>
        <v>0.66700000000000004</v>
      </c>
      <c r="F14">
        <f t="shared" si="1"/>
        <v>0.23799999999999999</v>
      </c>
    </row>
    <row r="15" spans="1:6" ht="16.8" x14ac:dyDescent="0.3">
      <c r="A15" s="8" t="s">
        <v>38</v>
      </c>
      <c r="B15" s="8" t="s">
        <v>36</v>
      </c>
      <c r="C15" s="8">
        <v>0.68316350000000003</v>
      </c>
      <c r="D15" s="8">
        <v>0.241695984</v>
      </c>
      <c r="E15">
        <f t="shared" si="0"/>
        <v>0.68300000000000005</v>
      </c>
      <c r="F15">
        <f t="shared" si="1"/>
        <v>0.24199999999999999</v>
      </c>
    </row>
    <row r="16" spans="1:6" ht="16.8" x14ac:dyDescent="0.3">
      <c r="A16" s="8" t="s">
        <v>7</v>
      </c>
      <c r="B16" s="8" t="s">
        <v>6</v>
      </c>
      <c r="C16" s="8">
        <v>0.68979239999999997</v>
      </c>
      <c r="D16" s="8">
        <v>0.294622306</v>
      </c>
      <c r="E16">
        <f t="shared" si="0"/>
        <v>0.69</v>
      </c>
      <c r="F16">
        <f t="shared" si="1"/>
        <v>0.29499999999999998</v>
      </c>
    </row>
    <row r="17" spans="1:6" ht="16.8" x14ac:dyDescent="0.3">
      <c r="A17" s="9" t="s">
        <v>27</v>
      </c>
      <c r="B17" s="9" t="s">
        <v>26</v>
      </c>
      <c r="C17" s="9">
        <v>0.71335440000000006</v>
      </c>
      <c r="D17" s="9">
        <v>0.27943443699999998</v>
      </c>
      <c r="E17">
        <f t="shared" si="0"/>
        <v>0.71299999999999997</v>
      </c>
      <c r="F17">
        <f t="shared" si="1"/>
        <v>0.27900000000000003</v>
      </c>
    </row>
    <row r="18" spans="1:6" ht="16.8" x14ac:dyDescent="0.3">
      <c r="A18" s="9" t="s">
        <v>47</v>
      </c>
      <c r="B18" s="9" t="s">
        <v>46</v>
      </c>
      <c r="C18" s="9">
        <v>0.72192389999999995</v>
      </c>
      <c r="D18" s="9">
        <v>0.27289567300000001</v>
      </c>
      <c r="E18">
        <f t="shared" si="0"/>
        <v>0.72199999999999998</v>
      </c>
      <c r="F18">
        <f t="shared" si="1"/>
        <v>0.27300000000000002</v>
      </c>
    </row>
    <row r="19" spans="1:6" ht="16.8" x14ac:dyDescent="0.3">
      <c r="A19" s="10" t="s">
        <v>19</v>
      </c>
      <c r="B19" s="10" t="s">
        <v>16</v>
      </c>
      <c r="C19" s="10">
        <v>0.73669759999999995</v>
      </c>
      <c r="D19" s="10">
        <v>0.230304535</v>
      </c>
      <c r="E19">
        <f t="shared" si="0"/>
        <v>0.73699999999999999</v>
      </c>
      <c r="F19">
        <f t="shared" si="1"/>
        <v>0.23</v>
      </c>
    </row>
    <row r="20" spans="1:6" ht="16.8" x14ac:dyDescent="0.3">
      <c r="A20" s="10" t="s">
        <v>8</v>
      </c>
      <c r="B20" s="10" t="s">
        <v>6</v>
      </c>
      <c r="C20" s="10">
        <v>0.74679549999999995</v>
      </c>
      <c r="D20" s="10">
        <v>0.25952912099999997</v>
      </c>
      <c r="E20">
        <f t="shared" si="0"/>
        <v>0.747</v>
      </c>
      <c r="F20">
        <f t="shared" si="1"/>
        <v>0.26</v>
      </c>
    </row>
    <row r="21" spans="1:6" ht="16.8" x14ac:dyDescent="0.3">
      <c r="A21" s="11" t="s">
        <v>59</v>
      </c>
      <c r="B21" s="11" t="s">
        <v>56</v>
      </c>
      <c r="C21" s="11">
        <v>0.77347449999999995</v>
      </c>
      <c r="D21" s="11">
        <v>0.19358629299999999</v>
      </c>
      <c r="E21">
        <f t="shared" si="0"/>
        <v>0.77300000000000002</v>
      </c>
      <c r="F21">
        <f t="shared" si="1"/>
        <v>0.19400000000000001</v>
      </c>
    </row>
    <row r="22" spans="1:6" ht="16.8" x14ac:dyDescent="0.3">
      <c r="A22" s="11" t="s">
        <v>28</v>
      </c>
      <c r="B22" s="11" t="s">
        <v>26</v>
      </c>
      <c r="C22" s="11">
        <v>0.77355830000000003</v>
      </c>
      <c r="D22" s="11">
        <v>0.24072774799999999</v>
      </c>
      <c r="E22">
        <f t="shared" si="0"/>
        <v>0.77400000000000002</v>
      </c>
      <c r="F22">
        <f t="shared" si="1"/>
        <v>0.24099999999999999</v>
      </c>
    </row>
    <row r="23" spans="1:6" ht="16.8" x14ac:dyDescent="0.3">
      <c r="A23" s="6" t="s">
        <v>0</v>
      </c>
      <c r="B23" s="6" t="s">
        <v>0</v>
      </c>
      <c r="C23" s="6">
        <v>0.78227539999999995</v>
      </c>
      <c r="D23" s="6">
        <v>0.23016899800000001</v>
      </c>
      <c r="E23">
        <f t="shared" si="0"/>
        <v>0.78200000000000003</v>
      </c>
      <c r="F23">
        <f t="shared" si="1"/>
        <v>0.23</v>
      </c>
    </row>
    <row r="24" spans="1:6" ht="16.8" x14ac:dyDescent="0.3">
      <c r="A24" s="8" t="s">
        <v>48</v>
      </c>
      <c r="B24" s="8" t="s">
        <v>46</v>
      </c>
      <c r="C24" s="8">
        <v>0.78713940000000004</v>
      </c>
      <c r="D24" s="8">
        <v>0.227823739</v>
      </c>
      <c r="E24">
        <f t="shared" si="0"/>
        <v>0.78700000000000003</v>
      </c>
      <c r="F24">
        <f t="shared" si="1"/>
        <v>0.22800000000000001</v>
      </c>
    </row>
    <row r="25" spans="1:6" ht="16.8" x14ac:dyDescent="0.3">
      <c r="A25" s="8" t="s">
        <v>39</v>
      </c>
      <c r="B25" s="8" t="s">
        <v>36</v>
      </c>
      <c r="C25" s="8">
        <v>0.78938799999999998</v>
      </c>
      <c r="D25" s="8">
        <v>0.21016627700000001</v>
      </c>
      <c r="E25">
        <f t="shared" si="0"/>
        <v>0.78900000000000003</v>
      </c>
      <c r="F25">
        <f t="shared" si="1"/>
        <v>0.21</v>
      </c>
    </row>
    <row r="26" spans="1:6" ht="16.8" x14ac:dyDescent="0.3">
      <c r="A26" s="8" t="s">
        <v>14</v>
      </c>
      <c r="B26" s="8" t="s">
        <v>6</v>
      </c>
      <c r="C26" s="8">
        <v>0.79563930000000005</v>
      </c>
      <c r="D26" s="8">
        <v>0.21863274299999999</v>
      </c>
      <c r="E26">
        <f t="shared" si="0"/>
        <v>0.79600000000000004</v>
      </c>
      <c r="F26">
        <f t="shared" si="1"/>
        <v>0.219</v>
      </c>
    </row>
    <row r="27" spans="1:6" ht="16.8" x14ac:dyDescent="0.3">
      <c r="A27" s="12" t="s">
        <v>9</v>
      </c>
      <c r="B27" s="12" t="s">
        <v>6</v>
      </c>
      <c r="C27" s="12">
        <v>0.80051220000000001</v>
      </c>
      <c r="D27" s="12">
        <v>0.220720164</v>
      </c>
      <c r="E27">
        <f t="shared" si="0"/>
        <v>0.80100000000000005</v>
      </c>
      <c r="F27">
        <f t="shared" si="1"/>
        <v>0.221</v>
      </c>
    </row>
    <row r="28" spans="1:6" ht="16.8" x14ac:dyDescent="0.3">
      <c r="A28" s="12" t="s">
        <v>20</v>
      </c>
      <c r="B28" s="12" t="s">
        <v>16</v>
      </c>
      <c r="C28" s="12">
        <v>0.8034926</v>
      </c>
      <c r="D28" s="12">
        <v>0.205967134</v>
      </c>
      <c r="E28">
        <f t="shared" si="0"/>
        <v>0.80300000000000005</v>
      </c>
      <c r="F28">
        <f t="shared" si="1"/>
        <v>0.20599999999999999</v>
      </c>
    </row>
    <row r="29" spans="1:6" ht="16.8" x14ac:dyDescent="0.3">
      <c r="A29" s="12" t="s">
        <v>24</v>
      </c>
      <c r="B29" s="12" t="s">
        <v>16</v>
      </c>
      <c r="C29" s="12">
        <v>0.82773430000000003</v>
      </c>
      <c r="D29" s="12">
        <v>0.191213615</v>
      </c>
      <c r="E29">
        <f t="shared" si="0"/>
        <v>0.82799999999999996</v>
      </c>
      <c r="F29">
        <f t="shared" si="1"/>
        <v>0.191</v>
      </c>
    </row>
    <row r="30" spans="1:6" ht="16.8" x14ac:dyDescent="0.3">
      <c r="A30" s="12" t="s">
        <v>29</v>
      </c>
      <c r="B30" s="12" t="s">
        <v>26</v>
      </c>
      <c r="C30" s="12">
        <v>0.83095330000000001</v>
      </c>
      <c r="D30" s="12">
        <v>0.191214468</v>
      </c>
      <c r="E30">
        <f t="shared" si="0"/>
        <v>0.83099999999999996</v>
      </c>
      <c r="F30">
        <f t="shared" si="1"/>
        <v>0.191</v>
      </c>
    </row>
    <row r="31" spans="1:6" ht="16.8" x14ac:dyDescent="0.3">
      <c r="A31" s="12" t="s">
        <v>40</v>
      </c>
      <c r="B31" s="12" t="s">
        <v>36</v>
      </c>
      <c r="C31" s="12">
        <v>0.83374289999999995</v>
      </c>
      <c r="D31" s="12">
        <v>0.18547215</v>
      </c>
      <c r="E31">
        <f t="shared" si="0"/>
        <v>0.83399999999999996</v>
      </c>
      <c r="F31">
        <f t="shared" si="1"/>
        <v>0.185</v>
      </c>
    </row>
    <row r="32" spans="1:6" ht="16.8" x14ac:dyDescent="0.3">
      <c r="A32" s="6" t="s">
        <v>1</v>
      </c>
      <c r="B32" s="6" t="s">
        <v>1</v>
      </c>
      <c r="C32" s="6">
        <v>0.83380290000000001</v>
      </c>
      <c r="D32" s="6">
        <v>0.187282742</v>
      </c>
      <c r="E32">
        <f t="shared" si="0"/>
        <v>0.83399999999999996</v>
      </c>
      <c r="F32">
        <f t="shared" si="1"/>
        <v>0.187</v>
      </c>
    </row>
    <row r="33" spans="1:6" ht="16.8" x14ac:dyDescent="0.3">
      <c r="A33" s="16" t="s">
        <v>21</v>
      </c>
      <c r="B33" s="16" t="s">
        <v>16</v>
      </c>
      <c r="C33" s="16">
        <v>0.84080290000000002</v>
      </c>
      <c r="D33" s="16">
        <v>0.18143274600000001</v>
      </c>
      <c r="E33">
        <f t="shared" si="0"/>
        <v>0.84099999999999997</v>
      </c>
      <c r="F33">
        <f t="shared" si="1"/>
        <v>0.18099999999999999</v>
      </c>
    </row>
    <row r="34" spans="1:6" ht="16.8" x14ac:dyDescent="0.3">
      <c r="A34" s="16" t="s">
        <v>13</v>
      </c>
      <c r="B34" s="16" t="s">
        <v>6</v>
      </c>
      <c r="C34" s="16">
        <v>0.8444663</v>
      </c>
      <c r="D34" s="16">
        <v>0.17558177999999999</v>
      </c>
      <c r="E34">
        <f t="shared" si="0"/>
        <v>0.84399999999999997</v>
      </c>
      <c r="F34">
        <f t="shared" si="1"/>
        <v>0.17599999999999999</v>
      </c>
    </row>
    <row r="35" spans="1:6" ht="16.8" x14ac:dyDescent="0.3">
      <c r="A35" s="16" t="s">
        <v>34</v>
      </c>
      <c r="B35" s="16" t="s">
        <v>26</v>
      </c>
      <c r="C35" s="16">
        <v>0.85127960000000003</v>
      </c>
      <c r="D35" s="16">
        <v>0.171707626</v>
      </c>
      <c r="E35">
        <f t="shared" si="0"/>
        <v>0.85099999999999998</v>
      </c>
      <c r="F35">
        <f t="shared" si="1"/>
        <v>0.17199999999999999</v>
      </c>
    </row>
    <row r="36" spans="1:6" ht="16.8" x14ac:dyDescent="0.3">
      <c r="A36" s="8" t="s">
        <v>44</v>
      </c>
      <c r="B36" s="8" t="s">
        <v>36</v>
      </c>
      <c r="C36" s="8">
        <v>0.85280650000000002</v>
      </c>
      <c r="D36" s="8">
        <v>0.16868350700000001</v>
      </c>
      <c r="E36">
        <f t="shared" si="0"/>
        <v>0.85299999999999998</v>
      </c>
      <c r="F36">
        <f t="shared" si="1"/>
        <v>0.16900000000000001</v>
      </c>
    </row>
    <row r="37" spans="1:6" ht="16.8" x14ac:dyDescent="0.3">
      <c r="A37" s="8" t="s">
        <v>49</v>
      </c>
      <c r="B37" s="8" t="s">
        <v>46</v>
      </c>
      <c r="C37" s="8">
        <v>0.85319970000000001</v>
      </c>
      <c r="D37" s="8">
        <v>0.16899008900000001</v>
      </c>
      <c r="E37">
        <f t="shared" si="0"/>
        <v>0.85299999999999998</v>
      </c>
      <c r="F37">
        <f t="shared" si="1"/>
        <v>0.16900000000000001</v>
      </c>
    </row>
    <row r="38" spans="1:6" ht="16.8" x14ac:dyDescent="0.3">
      <c r="A38" s="8" t="s">
        <v>22</v>
      </c>
      <c r="B38" s="8" t="s">
        <v>16</v>
      </c>
      <c r="C38" s="8">
        <v>0.85438670000000005</v>
      </c>
      <c r="D38" s="8">
        <v>0.16175725899999999</v>
      </c>
      <c r="E38">
        <f t="shared" si="0"/>
        <v>0.85399999999999998</v>
      </c>
      <c r="F38">
        <f t="shared" si="1"/>
        <v>0.16200000000000001</v>
      </c>
    </row>
    <row r="39" spans="1:6" ht="16.8" x14ac:dyDescent="0.3">
      <c r="A39" s="8" t="s">
        <v>10</v>
      </c>
      <c r="B39" s="8" t="s">
        <v>6</v>
      </c>
      <c r="C39" s="8">
        <v>0.85561109999999996</v>
      </c>
      <c r="D39" s="8">
        <v>0.16649289</v>
      </c>
      <c r="E39">
        <f t="shared" si="0"/>
        <v>0.85599999999999998</v>
      </c>
      <c r="F39">
        <f t="shared" si="1"/>
        <v>0.16600000000000001</v>
      </c>
    </row>
    <row r="40" spans="1:6" ht="16.8" x14ac:dyDescent="0.3">
      <c r="A40" s="17" t="s">
        <v>23</v>
      </c>
      <c r="B40" s="17" t="s">
        <v>16</v>
      </c>
      <c r="C40" s="17">
        <v>0.85630419999999996</v>
      </c>
      <c r="D40" s="17">
        <v>0.15872424199999999</v>
      </c>
      <c r="E40">
        <f t="shared" si="0"/>
        <v>0.85599999999999998</v>
      </c>
      <c r="F40">
        <f t="shared" si="1"/>
        <v>0.159</v>
      </c>
    </row>
    <row r="41" spans="1:6" ht="16.8" x14ac:dyDescent="0.3">
      <c r="A41" s="17" t="s">
        <v>41</v>
      </c>
      <c r="B41" s="17" t="s">
        <v>36</v>
      </c>
      <c r="C41" s="17">
        <v>0.86245090000000002</v>
      </c>
      <c r="D41" s="17">
        <v>0.15907839700000001</v>
      </c>
      <c r="E41">
        <f t="shared" si="0"/>
        <v>0.86199999999999999</v>
      </c>
      <c r="F41">
        <f t="shared" si="1"/>
        <v>0.159</v>
      </c>
    </row>
    <row r="42" spans="1:6" ht="16.8" x14ac:dyDescent="0.3">
      <c r="A42" s="17" t="s">
        <v>30</v>
      </c>
      <c r="B42" s="17" t="s">
        <v>26</v>
      </c>
      <c r="C42" s="17">
        <v>0.86473319999999998</v>
      </c>
      <c r="D42" s="17">
        <v>0.15514925700000001</v>
      </c>
      <c r="E42">
        <f t="shared" si="0"/>
        <v>0.86499999999999999</v>
      </c>
      <c r="F42">
        <f t="shared" si="1"/>
        <v>0.155</v>
      </c>
    </row>
    <row r="43" spans="1:6" ht="16.8" x14ac:dyDescent="0.3">
      <c r="A43" s="17" t="s">
        <v>33</v>
      </c>
      <c r="B43" s="17" t="s">
        <v>26</v>
      </c>
      <c r="C43" s="17">
        <v>0.87024809999999997</v>
      </c>
      <c r="D43" s="17">
        <v>0.149657551</v>
      </c>
      <c r="E43">
        <f t="shared" si="0"/>
        <v>0.87</v>
      </c>
      <c r="F43">
        <f t="shared" si="1"/>
        <v>0.15</v>
      </c>
    </row>
    <row r="44" spans="1:6" ht="16.8" x14ac:dyDescent="0.3">
      <c r="A44" s="17" t="s">
        <v>12</v>
      </c>
      <c r="B44" s="17" t="s">
        <v>6</v>
      </c>
      <c r="C44" s="17">
        <v>0.87175179999999997</v>
      </c>
      <c r="D44" s="17">
        <v>0.14775585699999999</v>
      </c>
      <c r="E44">
        <f t="shared" si="0"/>
        <v>0.872</v>
      </c>
      <c r="F44">
        <f t="shared" si="1"/>
        <v>0.14799999999999999</v>
      </c>
    </row>
    <row r="45" spans="1:6" ht="16.8" x14ac:dyDescent="0.3">
      <c r="A45" s="7" t="s">
        <v>42</v>
      </c>
      <c r="B45" s="7" t="s">
        <v>36</v>
      </c>
      <c r="C45" s="7">
        <v>0.8804092</v>
      </c>
      <c r="D45" s="7">
        <v>0.13536499900000001</v>
      </c>
      <c r="E45">
        <f t="shared" si="0"/>
        <v>0.88</v>
      </c>
      <c r="F45">
        <f t="shared" si="1"/>
        <v>0.13500000000000001</v>
      </c>
    </row>
    <row r="46" spans="1:6" ht="16.8" x14ac:dyDescent="0.3">
      <c r="A46" s="7" t="s">
        <v>60</v>
      </c>
      <c r="B46" s="7" t="s">
        <v>56</v>
      </c>
      <c r="C46" s="7">
        <v>0.88059969999999999</v>
      </c>
      <c r="D46" s="7">
        <v>0.12701079900000001</v>
      </c>
      <c r="E46">
        <f t="shared" si="0"/>
        <v>0.88100000000000001</v>
      </c>
      <c r="F46">
        <f t="shared" si="1"/>
        <v>0.127</v>
      </c>
    </row>
    <row r="47" spans="1:6" ht="16.8" x14ac:dyDescent="0.3">
      <c r="A47" s="7" t="s">
        <v>43</v>
      </c>
      <c r="B47" s="7" t="s">
        <v>36</v>
      </c>
      <c r="C47" s="7">
        <v>0.88346650000000004</v>
      </c>
      <c r="D47" s="7">
        <v>0.13429497400000001</v>
      </c>
      <c r="E47">
        <f t="shared" si="0"/>
        <v>0.88300000000000001</v>
      </c>
      <c r="F47">
        <f t="shared" si="1"/>
        <v>0.13400000000000001</v>
      </c>
    </row>
    <row r="48" spans="1:6" ht="16.8" x14ac:dyDescent="0.3">
      <c r="A48" s="7" t="s">
        <v>11</v>
      </c>
      <c r="B48" s="7" t="s">
        <v>6</v>
      </c>
      <c r="C48" s="7">
        <v>0.88453610000000005</v>
      </c>
      <c r="D48" s="7">
        <v>0.13307707099999999</v>
      </c>
      <c r="E48">
        <f t="shared" si="0"/>
        <v>0.88500000000000001</v>
      </c>
      <c r="F48">
        <f t="shared" si="1"/>
        <v>0.13300000000000001</v>
      </c>
    </row>
    <row r="49" spans="1:6" ht="16.8" x14ac:dyDescent="0.3">
      <c r="A49" s="7" t="s">
        <v>31</v>
      </c>
      <c r="B49" s="7" t="s">
        <v>26</v>
      </c>
      <c r="C49" s="7">
        <v>0.89543289999999998</v>
      </c>
      <c r="D49" s="7">
        <v>0.123833399</v>
      </c>
      <c r="E49">
        <f t="shared" si="0"/>
        <v>0.89500000000000002</v>
      </c>
      <c r="F49">
        <f t="shared" si="1"/>
        <v>0.124</v>
      </c>
    </row>
    <row r="50" spans="1:6" ht="16.8" x14ac:dyDescent="0.3">
      <c r="A50" s="15" t="s">
        <v>32</v>
      </c>
      <c r="B50" s="15" t="s">
        <v>26</v>
      </c>
      <c r="C50" s="15">
        <v>0.8998758</v>
      </c>
      <c r="D50" s="15">
        <v>0.115392518</v>
      </c>
      <c r="E50">
        <f t="shared" si="0"/>
        <v>0.9</v>
      </c>
      <c r="F50">
        <f t="shared" si="1"/>
        <v>0.115</v>
      </c>
    </row>
    <row r="51" spans="1:6" ht="16.8" x14ac:dyDescent="0.3">
      <c r="A51" s="15" t="s">
        <v>50</v>
      </c>
      <c r="B51" s="15" t="s">
        <v>46</v>
      </c>
      <c r="C51" s="15">
        <v>0.9097518</v>
      </c>
      <c r="D51" s="15">
        <v>0.111621333</v>
      </c>
      <c r="E51">
        <f t="shared" si="0"/>
        <v>0.91</v>
      </c>
      <c r="F51">
        <f t="shared" si="1"/>
        <v>0.112</v>
      </c>
    </row>
    <row r="52" spans="1:6" ht="16.8" x14ac:dyDescent="0.3">
      <c r="A52" s="5" t="s">
        <v>51</v>
      </c>
      <c r="B52" s="5" t="s">
        <v>46</v>
      </c>
      <c r="C52" s="5">
        <v>0.94748900000000003</v>
      </c>
      <c r="D52" s="5">
        <v>6.7263679000000007E-2</v>
      </c>
      <c r="E52">
        <f t="shared" si="0"/>
        <v>0.94699999999999995</v>
      </c>
      <c r="F52">
        <f t="shared" si="1"/>
        <v>6.7000000000000004E-2</v>
      </c>
    </row>
    <row r="53" spans="1:6" ht="16.8" x14ac:dyDescent="0.3">
      <c r="A53" s="5" t="s">
        <v>61</v>
      </c>
      <c r="B53" s="5" t="s">
        <v>56</v>
      </c>
      <c r="C53" s="5">
        <v>0.94937800000000006</v>
      </c>
      <c r="D53" s="5">
        <v>6.0488484000000002E-2</v>
      </c>
      <c r="E53">
        <f t="shared" si="0"/>
        <v>0.94899999999999995</v>
      </c>
      <c r="F53">
        <f t="shared" si="1"/>
        <v>0.06</v>
      </c>
    </row>
    <row r="54" spans="1:6" ht="16.8" x14ac:dyDescent="0.3">
      <c r="A54" s="14" t="s">
        <v>52</v>
      </c>
      <c r="B54" s="14" t="s">
        <v>46</v>
      </c>
      <c r="C54" s="14">
        <v>0.96835839999999995</v>
      </c>
      <c r="D54" s="14">
        <v>4.1136526E-2</v>
      </c>
      <c r="E54">
        <f t="shared" si="0"/>
        <v>0.96799999999999997</v>
      </c>
      <c r="F54">
        <f t="shared" si="1"/>
        <v>4.1000000000000002E-2</v>
      </c>
    </row>
    <row r="55" spans="1:6" ht="16.8" x14ac:dyDescent="0.3">
      <c r="A55" s="14" t="s">
        <v>53</v>
      </c>
      <c r="B55" s="14" t="s">
        <v>46</v>
      </c>
      <c r="C55" s="14">
        <v>0.97327859999999999</v>
      </c>
      <c r="D55" s="14">
        <v>3.4989471000000001E-2</v>
      </c>
      <c r="E55">
        <f t="shared" si="0"/>
        <v>0.97299999999999998</v>
      </c>
      <c r="F55">
        <f t="shared" si="1"/>
        <v>3.5000000000000003E-2</v>
      </c>
    </row>
    <row r="56" spans="1:6" ht="16.8" x14ac:dyDescent="0.3">
      <c r="A56" s="14" t="s">
        <v>54</v>
      </c>
      <c r="B56" s="14" t="s">
        <v>46</v>
      </c>
      <c r="C56" s="14">
        <v>0.97820910000000005</v>
      </c>
      <c r="D56" s="14">
        <v>2.8127633999999999E-2</v>
      </c>
      <c r="E56">
        <f t="shared" si="0"/>
        <v>0.97799999999999998</v>
      </c>
      <c r="F56">
        <f t="shared" si="1"/>
        <v>2.8000000000000001E-2</v>
      </c>
    </row>
    <row r="57" spans="1:6" ht="16.8" x14ac:dyDescent="0.3">
      <c r="A57" s="6" t="s">
        <v>2</v>
      </c>
      <c r="B57" s="6" t="s">
        <v>2</v>
      </c>
      <c r="C57" s="6">
        <v>0.97878909999999997</v>
      </c>
      <c r="D57" s="6">
        <v>2.7632862000000001E-2</v>
      </c>
      <c r="E57">
        <f t="shared" si="0"/>
        <v>0.97899999999999998</v>
      </c>
      <c r="F57">
        <f t="shared" si="1"/>
        <v>2.8000000000000001E-2</v>
      </c>
    </row>
    <row r="58" spans="1:6" ht="16.8" x14ac:dyDescent="0.3">
      <c r="A58" s="13" t="s">
        <v>64</v>
      </c>
      <c r="B58" s="13" t="s">
        <v>56</v>
      </c>
      <c r="C58" s="13">
        <v>0.98076459999999999</v>
      </c>
      <c r="D58" s="13">
        <v>2.4661705999999999E-2</v>
      </c>
      <c r="E58">
        <f t="shared" si="0"/>
        <v>0.98099999999999998</v>
      </c>
      <c r="F58">
        <f t="shared" si="1"/>
        <v>2.5000000000000001E-2</v>
      </c>
    </row>
    <row r="59" spans="1:6" ht="16.8" x14ac:dyDescent="0.3">
      <c r="A59" s="13" t="s">
        <v>62</v>
      </c>
      <c r="B59" s="13" t="s">
        <v>56</v>
      </c>
      <c r="C59" s="13">
        <v>0.98841950000000001</v>
      </c>
      <c r="D59" s="13">
        <v>1.5151767999999999E-2</v>
      </c>
      <c r="E59">
        <f t="shared" si="0"/>
        <v>0.98799999999999999</v>
      </c>
      <c r="F59">
        <f t="shared" si="1"/>
        <v>1.4999999999999999E-2</v>
      </c>
    </row>
    <row r="60" spans="1:6" ht="16.8" x14ac:dyDescent="0.3">
      <c r="A60" s="13" t="s">
        <v>63</v>
      </c>
      <c r="B60" s="13" t="s">
        <v>56</v>
      </c>
      <c r="C60" s="13">
        <v>0.99303359999999996</v>
      </c>
      <c r="D60" s="13">
        <v>9.0736459999999994E-3</v>
      </c>
      <c r="E60">
        <f t="shared" si="0"/>
        <v>0.99299999999999999</v>
      </c>
      <c r="F60">
        <f t="shared" si="1"/>
        <v>8.9999999999999993E-3</v>
      </c>
    </row>
  </sheetData>
  <sortState xmlns:xlrd2="http://schemas.microsoft.com/office/spreadsheetml/2017/richdata2" ref="A2:D60">
    <sortCondition ref="C1:C6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1C54-1C6D-431A-BCA2-CDBD94A1B06E}">
  <dimension ref="A1:G48"/>
  <sheetViews>
    <sheetView tabSelected="1" workbookViewId="0">
      <selection activeCell="G3" sqref="G3:G48"/>
    </sheetView>
  </sheetViews>
  <sheetFormatPr defaultRowHeight="14.4" x14ac:dyDescent="0.3"/>
  <cols>
    <col min="1" max="1" width="21.5546875" customWidth="1"/>
    <col min="2" max="2" width="23.77734375" customWidth="1"/>
    <col min="3" max="3" width="13.44140625" customWidth="1"/>
    <col min="4" max="4" width="20.44140625" customWidth="1"/>
  </cols>
  <sheetData>
    <row r="1" spans="1:7" x14ac:dyDescent="0.3">
      <c r="A1" t="s">
        <v>65</v>
      </c>
      <c r="C1" t="s">
        <v>67</v>
      </c>
      <c r="D1" t="s">
        <v>68</v>
      </c>
    </row>
    <row r="2" spans="1:7" ht="16.8" x14ac:dyDescent="0.3">
      <c r="A2" s="6" t="s">
        <v>4</v>
      </c>
      <c r="B2" s="6" t="s">
        <v>4</v>
      </c>
      <c r="C2" s="6">
        <v>0.39135379999999997</v>
      </c>
      <c r="D2" s="6">
        <v>0.28425598800000001</v>
      </c>
    </row>
    <row r="3" spans="1:7" ht="16.8" x14ac:dyDescent="0.3">
      <c r="A3" s="4" t="s">
        <v>15</v>
      </c>
      <c r="B3" s="4" t="s">
        <v>16</v>
      </c>
      <c r="C3" s="4">
        <v>0.4438452</v>
      </c>
      <c r="D3" s="4">
        <v>0.27847607699999999</v>
      </c>
      <c r="G3" t="s">
        <v>69</v>
      </c>
    </row>
    <row r="4" spans="1:7" ht="16.8" x14ac:dyDescent="0.3">
      <c r="A4" s="5" t="s">
        <v>17</v>
      </c>
      <c r="B4" s="5" t="s">
        <v>16</v>
      </c>
      <c r="C4" s="5">
        <v>0.53905820000000004</v>
      </c>
      <c r="D4" s="5">
        <v>0.27049531500000001</v>
      </c>
    </row>
    <row r="5" spans="1:7" ht="16.8" x14ac:dyDescent="0.3">
      <c r="A5" s="6" t="s">
        <v>3</v>
      </c>
      <c r="B5" s="6" t="s">
        <v>3</v>
      </c>
      <c r="C5" s="6">
        <v>0.59416060000000004</v>
      </c>
      <c r="D5" s="6">
        <v>0.34771446499999997</v>
      </c>
      <c r="G5" s="18" t="s">
        <v>86</v>
      </c>
    </row>
    <row r="6" spans="1:7" ht="16.8" x14ac:dyDescent="0.3">
      <c r="A6" s="7" t="s">
        <v>25</v>
      </c>
      <c r="B6" s="7" t="s">
        <v>26</v>
      </c>
      <c r="C6" s="7">
        <v>0.63743229999999995</v>
      </c>
      <c r="D6" s="7">
        <v>0.32528002700000003</v>
      </c>
      <c r="G6" s="18" t="s">
        <v>93</v>
      </c>
    </row>
    <row r="7" spans="1:7" ht="16.8" x14ac:dyDescent="0.3">
      <c r="A7" s="8" t="s">
        <v>18</v>
      </c>
      <c r="B7" s="8" t="s">
        <v>16</v>
      </c>
      <c r="C7" s="8">
        <v>0.65154469999999998</v>
      </c>
      <c r="D7" s="8">
        <v>0.247793385</v>
      </c>
      <c r="G7" s="18" t="s">
        <v>87</v>
      </c>
    </row>
    <row r="8" spans="1:7" ht="16.8" x14ac:dyDescent="0.3">
      <c r="A8" s="3" t="s">
        <v>45</v>
      </c>
      <c r="B8" s="3" t="s">
        <v>46</v>
      </c>
      <c r="C8" s="3">
        <v>0.65668709999999997</v>
      </c>
      <c r="D8" s="3">
        <v>0.31158972600000001</v>
      </c>
      <c r="G8" s="18" t="s">
        <v>88</v>
      </c>
    </row>
    <row r="9" spans="1:7" ht="16.8" x14ac:dyDescent="0.3">
      <c r="A9" s="8" t="s">
        <v>7</v>
      </c>
      <c r="B9" s="8" t="s">
        <v>6</v>
      </c>
      <c r="C9" s="8">
        <v>0.68979239999999997</v>
      </c>
      <c r="D9" s="8">
        <v>0.294622306</v>
      </c>
      <c r="G9" t="s">
        <v>70</v>
      </c>
    </row>
    <row r="10" spans="1:7" ht="16.8" x14ac:dyDescent="0.3">
      <c r="A10" s="9" t="s">
        <v>47</v>
      </c>
      <c r="B10" s="9" t="s">
        <v>46</v>
      </c>
      <c r="C10" s="9">
        <v>0.72192389999999995</v>
      </c>
      <c r="D10" s="9">
        <v>0.27289567300000001</v>
      </c>
      <c r="G10" t="s">
        <v>71</v>
      </c>
    </row>
    <row r="11" spans="1:7" ht="16.8" x14ac:dyDescent="0.3">
      <c r="A11" s="10" t="s">
        <v>8</v>
      </c>
      <c r="B11" s="10" t="s">
        <v>6</v>
      </c>
      <c r="C11" s="10">
        <v>0.74679549999999995</v>
      </c>
      <c r="D11" s="10">
        <v>0.25952912099999997</v>
      </c>
      <c r="G11" s="18" t="s">
        <v>72</v>
      </c>
    </row>
    <row r="12" spans="1:7" ht="16.8" x14ac:dyDescent="0.3">
      <c r="A12" s="11" t="s">
        <v>59</v>
      </c>
      <c r="B12" s="11" t="s">
        <v>56</v>
      </c>
      <c r="C12" s="11">
        <v>0.77347449999999995</v>
      </c>
      <c r="D12" s="11">
        <v>0.19358629299999999</v>
      </c>
      <c r="G12" s="18" t="s">
        <v>89</v>
      </c>
    </row>
    <row r="13" spans="1:7" ht="16.8" x14ac:dyDescent="0.3">
      <c r="A13" s="6" t="s">
        <v>0</v>
      </c>
      <c r="B13" s="6" t="s">
        <v>0</v>
      </c>
      <c r="C13" s="6">
        <v>0.78227539999999995</v>
      </c>
      <c r="D13" s="6">
        <v>0.23016899800000001</v>
      </c>
      <c r="G13" s="18" t="s">
        <v>73</v>
      </c>
    </row>
    <row r="14" spans="1:7" ht="16.8" x14ac:dyDescent="0.3">
      <c r="A14" s="8" t="s">
        <v>14</v>
      </c>
      <c r="B14" s="8" t="s">
        <v>6</v>
      </c>
      <c r="C14" s="8">
        <v>0.79563930000000005</v>
      </c>
      <c r="D14" s="8">
        <v>0.21863274299999999</v>
      </c>
      <c r="G14" s="18" t="s">
        <v>94</v>
      </c>
    </row>
    <row r="15" spans="1:7" ht="16.8" x14ac:dyDescent="0.3">
      <c r="A15" s="12" t="s">
        <v>24</v>
      </c>
      <c r="B15" s="12" t="s">
        <v>16</v>
      </c>
      <c r="C15" s="12">
        <v>0.82773430000000003</v>
      </c>
      <c r="D15" s="12">
        <v>0.191213615</v>
      </c>
    </row>
    <row r="16" spans="1:7" ht="16.8" x14ac:dyDescent="0.3">
      <c r="A16" s="6" t="s">
        <v>1</v>
      </c>
      <c r="B16" s="6" t="s">
        <v>1</v>
      </c>
      <c r="C16" s="6">
        <v>0.83380290000000001</v>
      </c>
      <c r="D16" s="6">
        <v>0.187282742</v>
      </c>
      <c r="G16" s="18" t="s">
        <v>74</v>
      </c>
    </row>
    <row r="17" spans="1:7" ht="16.8" x14ac:dyDescent="0.3">
      <c r="A17" s="16" t="s">
        <v>21</v>
      </c>
      <c r="B17" s="16" t="s">
        <v>16</v>
      </c>
      <c r="C17" s="16">
        <v>0.84080290000000002</v>
      </c>
      <c r="D17" s="16">
        <v>0.18143274600000001</v>
      </c>
      <c r="G17" t="s">
        <v>70</v>
      </c>
    </row>
    <row r="18" spans="1:7" ht="16.8" x14ac:dyDescent="0.3">
      <c r="A18" s="8" t="s">
        <v>44</v>
      </c>
      <c r="B18" s="8" t="s">
        <v>36</v>
      </c>
      <c r="C18" s="8">
        <v>0.85280650000000002</v>
      </c>
      <c r="D18" s="8">
        <v>0.16868350700000001</v>
      </c>
      <c r="G18" t="s">
        <v>75</v>
      </c>
    </row>
    <row r="19" spans="1:7" ht="16.8" x14ac:dyDescent="0.3">
      <c r="A19" s="17" t="s">
        <v>12</v>
      </c>
      <c r="B19" s="17" t="s">
        <v>6</v>
      </c>
      <c r="C19" s="17">
        <v>0.87175179999999997</v>
      </c>
      <c r="D19" s="17">
        <v>0.14775585699999999</v>
      </c>
      <c r="G19" s="18" t="s">
        <v>92</v>
      </c>
    </row>
    <row r="20" spans="1:7" ht="16.8" x14ac:dyDescent="0.3">
      <c r="A20" s="7" t="s">
        <v>43</v>
      </c>
      <c r="B20" s="7" t="s">
        <v>36</v>
      </c>
      <c r="C20" s="7">
        <v>0.88346650000000004</v>
      </c>
      <c r="D20" s="7">
        <v>0.13429497400000001</v>
      </c>
    </row>
    <row r="21" spans="1:7" ht="16.8" x14ac:dyDescent="0.3">
      <c r="A21" s="15" t="s">
        <v>32</v>
      </c>
      <c r="B21" s="15" t="s">
        <v>26</v>
      </c>
      <c r="C21" s="15">
        <v>0.8998758</v>
      </c>
      <c r="D21" s="15">
        <v>0.115392518</v>
      </c>
      <c r="G21" t="s">
        <v>90</v>
      </c>
    </row>
    <row r="22" spans="1:7" ht="16.8" x14ac:dyDescent="0.3">
      <c r="A22" s="5" t="s">
        <v>61</v>
      </c>
      <c r="B22" s="5" t="s">
        <v>56</v>
      </c>
      <c r="C22" s="5">
        <v>0.94937800000000006</v>
      </c>
      <c r="D22" s="5">
        <v>6.0488484000000002E-2</v>
      </c>
      <c r="G22" s="18" t="s">
        <v>91</v>
      </c>
    </row>
    <row r="23" spans="1:7" ht="16.8" x14ac:dyDescent="0.3">
      <c r="A23" s="14" t="s">
        <v>52</v>
      </c>
      <c r="B23" s="14" t="s">
        <v>46</v>
      </c>
      <c r="C23" s="14">
        <v>0.96835839999999995</v>
      </c>
      <c r="D23" s="14">
        <v>4.1136526E-2</v>
      </c>
    </row>
    <row r="24" spans="1:7" ht="16.8" x14ac:dyDescent="0.3">
      <c r="A24" s="6" t="s">
        <v>2</v>
      </c>
      <c r="B24" s="6" t="s">
        <v>2</v>
      </c>
      <c r="C24" s="6">
        <v>0.97878909999999997</v>
      </c>
      <c r="D24" s="6">
        <v>2.7632862000000001E-2</v>
      </c>
    </row>
    <row r="25" spans="1:7" ht="16.8" x14ac:dyDescent="0.3">
      <c r="A25" s="13" t="s">
        <v>63</v>
      </c>
      <c r="B25" s="13" t="s">
        <v>56</v>
      </c>
      <c r="C25" s="13">
        <v>0.99303359999999996</v>
      </c>
      <c r="D25" s="13">
        <v>9.0736459999999994E-3</v>
      </c>
      <c r="G25" t="s">
        <v>70</v>
      </c>
    </row>
    <row r="26" spans="1:7" x14ac:dyDescent="0.3">
      <c r="G26" t="s">
        <v>76</v>
      </c>
    </row>
    <row r="27" spans="1:7" x14ac:dyDescent="0.3">
      <c r="G27" s="18" t="s">
        <v>95</v>
      </c>
    </row>
    <row r="28" spans="1:7" x14ac:dyDescent="0.3">
      <c r="G28" s="18" t="s">
        <v>96</v>
      </c>
    </row>
    <row r="31" spans="1:7" x14ac:dyDescent="0.3">
      <c r="G31" t="s">
        <v>70</v>
      </c>
    </row>
    <row r="32" spans="1:7" x14ac:dyDescent="0.3">
      <c r="G32" t="s">
        <v>77</v>
      </c>
    </row>
    <row r="33" spans="7:7" x14ac:dyDescent="0.3">
      <c r="G33" s="18" t="s">
        <v>78</v>
      </c>
    </row>
    <row r="34" spans="7:7" x14ac:dyDescent="0.3">
      <c r="G34" s="18" t="s">
        <v>79</v>
      </c>
    </row>
    <row r="37" spans="7:7" x14ac:dyDescent="0.3">
      <c r="G37" t="s">
        <v>80</v>
      </c>
    </row>
    <row r="38" spans="7:7" x14ac:dyDescent="0.3">
      <c r="G38" s="18" t="s">
        <v>81</v>
      </c>
    </row>
    <row r="39" spans="7:7" x14ac:dyDescent="0.3">
      <c r="G39" t="s">
        <v>70</v>
      </c>
    </row>
    <row r="40" spans="7:7" x14ac:dyDescent="0.3">
      <c r="G40" t="s">
        <v>82</v>
      </c>
    </row>
    <row r="44" spans="7:7" x14ac:dyDescent="0.3">
      <c r="G44" s="18" t="s">
        <v>83</v>
      </c>
    </row>
    <row r="45" spans="7:7" x14ac:dyDescent="0.3">
      <c r="G45" s="18" t="s">
        <v>97</v>
      </c>
    </row>
    <row r="46" spans="7:7" x14ac:dyDescent="0.3">
      <c r="G46" s="18" t="s">
        <v>84</v>
      </c>
    </row>
    <row r="47" spans="7:7" x14ac:dyDescent="0.3">
      <c r="G47" t="s">
        <v>70</v>
      </c>
    </row>
    <row r="48" spans="7:7" x14ac:dyDescent="0.3">
      <c r="G48" t="s">
        <v>85</v>
      </c>
    </row>
  </sheetData>
  <sortState xmlns:xlrd2="http://schemas.microsoft.com/office/spreadsheetml/2017/richdata2" ref="A3:D25">
    <sortCondition ref="C1:C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Dilhani</dc:creator>
  <cp:lastModifiedBy>Rasika Dilhani</cp:lastModifiedBy>
  <dcterms:created xsi:type="dcterms:W3CDTF">2026-03-10T06:24:29Z</dcterms:created>
  <dcterms:modified xsi:type="dcterms:W3CDTF">2026-03-11T21:06:13Z</dcterms:modified>
</cp:coreProperties>
</file>